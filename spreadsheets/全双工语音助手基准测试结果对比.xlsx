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6034\Desktop\"/>
    </mc:Choice>
  </mc:AlternateContent>
  <xr:revisionPtr revIDLastSave="0" documentId="8_{5FCF0D20-78EC-40E2-B101-787B4651D566}" xr6:coauthVersionLast="47" xr6:coauthVersionMax="47" xr10:uidLastSave="{00000000-0000-0000-0000-000000000000}"/>
  <bookViews>
    <workbookView xWindow="5355" yWindow="2625" windowWidth="30480" windowHeight="17685" xr2:uid="{00000000-000D-0000-FFFF-FFFF00000000}"/>
  </bookViews>
  <sheets>
    <sheet name="Benchmark Table" sheetId="1" r:id="rId1"/>
  </sheets>
  <calcPr calcId="181029"/>
</workbook>
</file>

<file path=xl/calcChain.xml><?xml version="1.0" encoding="utf-8"?>
<calcChain xmlns="http://schemas.openxmlformats.org/spreadsheetml/2006/main">
  <c r="A57" i="1" l="1"/>
  <c r="A56" i="1"/>
  <c r="A55" i="1"/>
  <c r="A54" i="1"/>
  <c r="A53" i="1"/>
  <c r="A52" i="1"/>
  <c r="A51" i="1"/>
  <c r="H29" i="1" s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H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tc={0653B66F-473E-0538-B1B5-667E88E4BD21}</author>
  </authors>
  <commentList>
    <comment ref="H51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用户指定 Health Assistant 的 Speech Reasoning 分数为 55.0；连续位置排名为第 21 名。</t>
        </r>
      </text>
    </comment>
  </commentList>
</comments>
</file>

<file path=xl/sharedStrings.xml><?xml version="1.0" encoding="utf-8"?>
<sst xmlns="http://schemas.openxmlformats.org/spreadsheetml/2006/main" count="76" uniqueCount="69">
  <si>
    <t>Audio Benchmark Leaderboard With Server Run</t>
  </si>
  <si>
    <t>Metric</t>
  </si>
  <si>
    <t>GLM4
-Voice</t>
  </si>
  <si>
    <t>MiniCPM
-o 2.6</t>
  </si>
  <si>
    <t>Baichuan
-Omni-1.5</t>
  </si>
  <si>
    <t>Kimi
-Audio</t>
  </si>
  <si>
    <t>Step-Audio2
-Mini</t>
  </si>
  <si>
    <t>MiMo
-Audio</t>
  </si>
  <si>
    <t>Fun-Audio-Chat
-8B</t>
  </si>
  <si>
    <t>Health Assistant
(server)</t>
  </si>
  <si>
    <t>LLM Size</t>
  </si>
  <si>
    <t>9B</t>
  </si>
  <si>
    <t>7B</t>
  </si>
  <si>
    <t>8B</t>
  </si>
  <si>
    <t>Frame Rate-In</t>
  </si>
  <si>
    <t>Frame Rate-Out</t>
  </si>
  <si>
    <t>12.5+τ</t>
  </si>
  <si>
    <t>τ</t>
  </si>
  <si>
    <t>25+τ</t>
  </si>
  <si>
    <t>6.25+τ</t>
  </si>
  <si>
    <t>OpenAudioBench (S2T)</t>
  </si>
  <si>
    <t>AlpacaEval</t>
  </si>
  <si>
    <t>Llama Q.</t>
  </si>
  <si>
    <t>Reasoning QA</t>
  </si>
  <si>
    <t>TriviaQA</t>
  </si>
  <si>
    <t>Web Q.</t>
  </si>
  <si>
    <t>Overall</t>
  </si>
  <si>
    <t>VoiceBench (S2T)</t>
  </si>
  <si>
    <t>CommonEval</t>
  </si>
  <si>
    <t>SD-QA</t>
  </si>
  <si>
    <t>MMSU</t>
  </si>
  <si>
    <t>OpenBookQA</t>
  </si>
  <si>
    <t>IFEval</t>
  </si>
  <si>
    <t>AdvBench</t>
  </si>
  <si>
    <t>Speech Reasoning (Big Bench Audio)</t>
  </si>
  <si>
    <t>Health Assistant 插入结果</t>
  </si>
  <si>
    <t>截图中的 26 个模型 + Health Assistant（55.0分），按分数从高到低排列；排名按列表位置连续编号。</t>
  </si>
  <si>
    <t>分数</t>
  </si>
  <si>
    <t>排名</t>
  </si>
  <si>
    <t>Rank / 排名</t>
  </si>
  <si>
    <t>Model / 模型</t>
  </si>
  <si>
    <t>Score / 分数</t>
  </si>
  <si>
    <t>Qwen3.5 Omni Plus Realtime</t>
  </si>
  <si>
    <t>Fun-Realtime-Audiochat</t>
  </si>
  <si>
    <t>Step-Audio R1.1 (Realtime)</t>
  </si>
  <si>
    <t>Grok Voice Think Fast 1.0</t>
  </si>
  <si>
    <t>GPT-Realtime-2 (High)</t>
  </si>
  <si>
    <t>Gemini 3.1 Flash - High</t>
  </si>
  <si>
    <t>Grok Voice Fast 1.0</t>
  </si>
  <si>
    <t>Gemini 2.5 Flash Native Audio Dialog Thinking</t>
  </si>
  <si>
    <t>Nova 2.0 Sonic (Mar 2026)</t>
  </si>
  <si>
    <t>Deepslate Opal</t>
  </si>
  <si>
    <t>GPT Realtime</t>
  </si>
  <si>
    <t>GPT-Realtime-1.5</t>
  </si>
  <si>
    <t>GPT-Realtime-2 (Minimal)</t>
  </si>
  <si>
    <t>Gemini 3.1 Flash - Minimal</t>
  </si>
  <si>
    <t>GPT-Realtime-2 (Medium)</t>
  </si>
  <si>
    <t>Gemini 2.5 Flash Native Audio Dialog</t>
  </si>
  <si>
    <t>GPT Realtime Mini (Oct 2025)</t>
  </si>
  <si>
    <t>Qwen3.5 Omni Flash Realtime</t>
  </si>
  <si>
    <t>Qwen3 Omni Flash</t>
  </si>
  <si>
    <t>Qwen3 Omni Realtime</t>
  </si>
  <si>
    <t>Health Assistant (server)</t>
  </si>
  <si>
    <t>GPT-4o audio chatcompletions</t>
  </si>
  <si>
    <t>Nemotron Voicechat</t>
  </si>
  <si>
    <t>Freeze-Omni</t>
  </si>
  <si>
    <t>PersonaPlex</t>
  </si>
  <si>
    <t>FLM-Audio</t>
  </si>
  <si>
    <t>Moshi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</si>
</sst>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%&quot;"/>
  </numFmts>
  <fonts count="14">
    <font>
      <sz val="11"/>
      <name val="Carlito"/>
    </font>
    <font>
      <sz val="11"/>
      <name val="Carlito"/>
    </font>
    <font>
      <b/>
      <sz val="10"/>
      <color rgb="FF11182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rgb="FF111827"/>
      <name val="Arial"/>
      <family val="2"/>
    </font>
    <font>
      <b/>
      <sz val="16"/>
      <color rgb="FF111827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b/>
      <sz val="11"/>
      <color rgb="FF111827"/>
      <name val="Carlito"/>
    </font>
    <font>
      <sz val="11"/>
      <color rgb="FF6B7280"/>
      <name val="Carlito"/>
    </font>
    <font>
      <sz val="11"/>
      <color rgb="FF111827"/>
      <name val="Carlito"/>
    </font>
    <font>
      <b/>
      <sz val="11"/>
      <color rgb="FF1E3A8A"/>
      <name val="Carlito"/>
    </font>
    <font>
      <b/>
      <sz val="11"/>
      <color rgb="FFFFFFF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DBEAFE"/>
      </patternFill>
    </fill>
    <fill>
      <patternFill patternType="solid">
        <fgColor rgb="FF1E3A8A"/>
      </patternFill>
    </fill>
    <fill>
      <patternFill patternType="solid">
        <fgColor rgb="FFEFF6FF"/>
      </patternFill>
    </fill>
  </fills>
  <borders count="24">
    <border>
      <left/>
      <right/>
      <top/>
      <bottom/>
      <diagonal/>
    </border>
    <border>
      <left style="medium">
        <color rgb="FF6B7280"/>
      </left>
      <right/>
      <top style="medium">
        <color rgb="FF111827"/>
      </top>
      <bottom style="thin">
        <color rgb="FF9CA3AF"/>
      </bottom>
      <diagonal/>
    </border>
    <border>
      <left/>
      <right/>
      <top style="medium">
        <color rgb="FF111827"/>
      </top>
      <bottom style="thin">
        <color rgb="FF9CA3AF"/>
      </bottom>
      <diagonal/>
    </border>
    <border>
      <left style="medium">
        <color rgb="FF6B7280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medium">
        <color rgb="FF6B7280"/>
      </left>
      <right/>
      <top style="thin">
        <color rgb="FF9CA3AF"/>
      </top>
      <bottom style="medium">
        <color rgb="FF111827"/>
      </bottom>
      <diagonal/>
    </border>
    <border>
      <left/>
      <right/>
      <top style="thin">
        <color rgb="FF9CA3AF"/>
      </top>
      <bottom style="medium">
        <color rgb="FF111827"/>
      </bottom>
      <diagonal/>
    </border>
    <border>
      <left style="medium">
        <color rgb="FF6B7280"/>
      </left>
      <right/>
      <top style="medium">
        <color rgb="FF111827"/>
      </top>
      <bottom style="thin">
        <color rgb="FF111827"/>
      </bottom>
      <diagonal/>
    </border>
    <border>
      <left/>
      <right/>
      <top style="medium">
        <color rgb="FF111827"/>
      </top>
      <bottom style="thin">
        <color rgb="FF111827"/>
      </bottom>
      <diagonal/>
    </border>
    <border>
      <left/>
      <right/>
      <top style="thin">
        <color rgb="FF9CA3AF"/>
      </top>
      <bottom/>
      <diagonal/>
    </border>
    <border>
      <left style="medium">
        <color rgb="FF6B7280"/>
      </left>
      <right/>
      <top style="thin">
        <color rgb="FF9CA3AF"/>
      </top>
      <bottom/>
      <diagonal/>
    </border>
    <border>
      <left/>
      <right/>
      <top style="medium">
        <color rgb="FF111827"/>
      </top>
      <bottom/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9CA3AF"/>
      </bottom>
      <diagonal/>
    </border>
    <border>
      <left/>
      <right/>
      <top style="medium">
        <color rgb="FF60A5FA"/>
      </top>
      <bottom style="medium">
        <color rgb="FF60A5FA"/>
      </bottom>
      <diagonal/>
    </border>
    <border>
      <left style="thin">
        <color rgb="FF93C5FD"/>
      </left>
      <right/>
      <top style="thin">
        <color rgb="FF93C5FD"/>
      </top>
      <bottom/>
      <diagonal/>
    </border>
    <border>
      <left/>
      <right/>
      <top style="thin">
        <color rgb="FF93C5FD"/>
      </top>
      <bottom/>
      <diagonal/>
    </border>
    <border>
      <left/>
      <right style="thin">
        <color rgb="FF93C5FD"/>
      </right>
      <top style="thin">
        <color rgb="FF93C5FD"/>
      </top>
      <bottom/>
      <diagonal/>
    </border>
    <border>
      <left style="thin">
        <color rgb="FF93C5FD"/>
      </left>
      <right/>
      <top/>
      <bottom/>
      <diagonal/>
    </border>
    <border>
      <left/>
      <right style="thin">
        <color rgb="FF93C5FD"/>
      </right>
      <top/>
      <bottom/>
      <diagonal/>
    </border>
    <border>
      <left style="thin">
        <color rgb="FF93C5FD"/>
      </left>
      <right/>
      <top/>
      <bottom style="thin">
        <color rgb="FF93C5FD"/>
      </bottom>
      <diagonal/>
    </border>
    <border>
      <left/>
      <right/>
      <top/>
      <bottom style="thin">
        <color rgb="FF93C5FD"/>
      </bottom>
      <diagonal/>
    </border>
    <border>
      <left/>
      <right style="thin">
        <color rgb="FF93C5FD"/>
      </right>
      <top/>
      <bottom style="thin">
        <color rgb="FF93C5FD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3" fillId="0" borderId="0" xfId="1" applyFont="1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center" vertical="center"/>
    </xf>
    <xf numFmtId="0" fontId="3" fillId="0" borderId="3" xfId="1" applyFont="1" applyBorder="1"/>
    <xf numFmtId="0" fontId="3" fillId="0" borderId="4" xfId="1" applyFont="1" applyBorder="1"/>
    <xf numFmtId="0" fontId="3" fillId="0" borderId="3" xfId="1" applyFont="1" applyBorder="1" applyAlignment="1">
      <alignment horizontal="left" vertical="center"/>
    </xf>
    <xf numFmtId="2" fontId="3" fillId="0" borderId="4" xfId="1" applyNumberFormat="1" applyFont="1" applyBorder="1" applyAlignment="1">
      <alignment horizontal="right" vertical="center"/>
    </xf>
    <xf numFmtId="2" fontId="4" fillId="0" borderId="4" xfId="1" applyNumberFormat="1" applyFont="1" applyBorder="1" applyAlignment="1">
      <alignment horizontal="right" vertical="center"/>
    </xf>
    <xf numFmtId="2" fontId="4" fillId="6" borderId="4" xfId="1" applyNumberFormat="1" applyFont="1" applyFill="1" applyBorder="1" applyAlignment="1">
      <alignment horizontal="right" vertical="center"/>
    </xf>
    <xf numFmtId="0" fontId="4" fillId="0" borderId="5" xfId="1" applyFont="1" applyBorder="1" applyAlignment="1">
      <alignment horizontal="left" vertical="center"/>
    </xf>
    <xf numFmtId="2" fontId="4" fillId="0" borderId="6" xfId="1" applyNumberFormat="1" applyFont="1" applyBorder="1" applyAlignment="1">
      <alignment horizontal="right" vertical="center"/>
    </xf>
    <xf numFmtId="2" fontId="4" fillId="6" borderId="6" xfId="1" applyNumberFormat="1" applyFont="1" applyFill="1" applyBorder="1" applyAlignment="1">
      <alignment horizontal="right" vertical="center"/>
    </xf>
    <xf numFmtId="0" fontId="3" fillId="0" borderId="9" xfId="1" applyFont="1" applyBorder="1"/>
    <xf numFmtId="0" fontId="3" fillId="0" borderId="10" xfId="1" applyFont="1" applyBorder="1"/>
    <xf numFmtId="0" fontId="9" fillId="8" borderId="2" xfId="0" applyFont="1" applyFill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" fontId="12" fillId="10" borderId="15" xfId="0" applyNumberFormat="1" applyFont="1" applyFill="1" applyBorder="1" applyAlignment="1">
      <alignment horizontal="center" vertical="center"/>
    </xf>
    <xf numFmtId="0" fontId="12" fillId="12" borderId="19" xfId="0" applyFont="1" applyFill="1" applyBorder="1" applyAlignment="1">
      <alignment horizontal="left" vertical="center"/>
    </xf>
    <xf numFmtId="0" fontId="12" fillId="12" borderId="21" xfId="0" applyFont="1" applyFill="1" applyBorder="1" applyAlignment="1">
      <alignment horizontal="left" vertical="center"/>
    </xf>
    <xf numFmtId="0" fontId="6" fillId="2" borderId="0" xfId="1" applyFont="1" applyFill="1" applyAlignment="1">
      <alignment horizontal="center"/>
    </xf>
    <xf numFmtId="0" fontId="7" fillId="0" borderId="0" xfId="1" applyFont="1"/>
    <xf numFmtId="0" fontId="5" fillId="5" borderId="7" xfId="1" applyFont="1" applyFill="1" applyBorder="1" applyAlignment="1">
      <alignment horizontal="center"/>
    </xf>
    <xf numFmtId="0" fontId="3" fillId="0" borderId="8" xfId="1" applyFont="1" applyBorder="1"/>
    <xf numFmtId="0" fontId="9" fillId="7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/>
    </xf>
    <xf numFmtId="176" fontId="9" fillId="12" borderId="0" xfId="0" applyNumberFormat="1" applyFont="1" applyFill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1" fontId="9" fillId="12" borderId="22" xfId="0" applyNumberFormat="1" applyFont="1" applyFill="1" applyBorder="1" applyAlignment="1">
      <alignment horizontal="center" vertical="center"/>
    </xf>
    <xf numFmtId="0" fontId="9" fillId="12" borderId="2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176" fontId="9" fillId="9" borderId="12" xfId="0" applyNumberFormat="1" applyFont="1" applyFill="1" applyBorder="1" applyAlignment="1">
      <alignment horizontal="right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vertical="center"/>
    </xf>
    <xf numFmtId="176" fontId="9" fillId="9" borderId="13" xfId="0" applyNumberFormat="1" applyFont="1" applyFill="1" applyBorder="1" applyAlignment="1">
      <alignment horizontal="right" vertical="center"/>
    </xf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vertical="center"/>
    </xf>
    <xf numFmtId="176" fontId="11" fillId="9" borderId="13" xfId="0" applyNumberFormat="1" applyFont="1" applyFill="1" applyBorder="1" applyAlignment="1">
      <alignment horizontal="right" vertical="center"/>
    </xf>
    <xf numFmtId="0" fontId="12" fillId="10" borderId="15" xfId="0" applyFont="1" applyFill="1" applyBorder="1" applyAlignment="1">
      <alignment horizontal="left" vertical="center"/>
    </xf>
    <xf numFmtId="0" fontId="12" fillId="10" borderId="15" xfId="0" applyFont="1" applyFill="1" applyBorder="1" applyAlignment="1">
      <alignment vertical="center"/>
    </xf>
    <xf numFmtId="176" fontId="12" fillId="10" borderId="15" xfId="0" applyNumberFormat="1" applyFont="1" applyFill="1" applyBorder="1" applyAlignment="1">
      <alignment horizontal="right" vertical="center"/>
    </xf>
    <xf numFmtId="0" fontId="11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vertical="center"/>
    </xf>
    <xf numFmtId="176" fontId="11" fillId="9" borderId="14" xfId="0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8ed0bc69d2b24b81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609600</xdr:colOff>
      <xdr:row>41</xdr:row>
      <xdr:rowOff>200025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97D17E3-FAC1-FF58-05B7-184189F477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07A280CD-35FC-4B9C-8031-BD187226EF1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H51" dT="2026-07-15T07:45:18.668" personId="{07A280CD-35FC-4B9C-8031-BD187226EF1A}" id="{0653B66F-473E-0538-B1B5-667E88E4BD21}">
    <xltc:text>用户指定 Health Assistant 的 Speech Reasoning 分数为 55.0；连续位置排名为第 21 名。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26fb17d6b2854a1d" Type="http://schemas.microsoft.com/office/2017/10/relationships/threadedComment" Target="../threadedcomments/threadedcomment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GridLines="0" tabSelected="1" workbookViewId="0">
      <selection activeCell="M57" sqref="M57"/>
    </sheetView>
  </sheetViews>
  <sheetFormatPr defaultRowHeight="14.25"/>
  <cols>
    <col min="1" max="1" width="24" customWidth="1"/>
    <col min="2" max="7" width="13" customWidth="1"/>
    <col min="8" max="8" width="15" customWidth="1"/>
    <col min="9" max="9" width="18" customWidth="1"/>
  </cols>
  <sheetData>
    <row r="1" spans="1:9" ht="20.2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8.1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4" t="s">
        <v>10</v>
      </c>
      <c r="B4" s="5" t="s">
        <v>11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13</v>
      </c>
      <c r="I4" s="5"/>
    </row>
    <row r="5" spans="1:9">
      <c r="A5" s="4" t="s">
        <v>14</v>
      </c>
      <c r="B5" s="5">
        <v>12.5</v>
      </c>
      <c r="C5" s="5">
        <v>25</v>
      </c>
      <c r="D5" s="5">
        <v>12.5</v>
      </c>
      <c r="E5" s="5">
        <v>12.5</v>
      </c>
      <c r="F5" s="5">
        <v>12.5</v>
      </c>
      <c r="G5" s="5">
        <v>6.25</v>
      </c>
      <c r="H5" s="5">
        <v>5</v>
      </c>
      <c r="I5" s="5"/>
    </row>
    <row r="6" spans="1:9">
      <c r="A6" s="4" t="s">
        <v>15</v>
      </c>
      <c r="B6" s="5" t="s">
        <v>16</v>
      </c>
      <c r="C6" s="5" t="s">
        <v>17</v>
      </c>
      <c r="D6" s="5" t="s">
        <v>16</v>
      </c>
      <c r="E6" s="5">
        <v>12.5</v>
      </c>
      <c r="F6" s="5" t="s">
        <v>18</v>
      </c>
      <c r="G6" s="5" t="s">
        <v>19</v>
      </c>
      <c r="H6" s="5">
        <v>5</v>
      </c>
      <c r="I6" s="5"/>
    </row>
    <row r="7" spans="1:9">
      <c r="A7" s="6"/>
      <c r="B7" s="7"/>
      <c r="C7" s="7"/>
      <c r="D7" s="7"/>
      <c r="E7" s="7"/>
      <c r="F7" s="7"/>
      <c r="G7" s="7"/>
      <c r="H7" s="7"/>
      <c r="I7" s="7"/>
    </row>
    <row r="8" spans="1:9">
      <c r="A8" s="27" t="s">
        <v>20</v>
      </c>
      <c r="B8" s="28"/>
      <c r="C8" s="28"/>
      <c r="D8" s="28"/>
      <c r="E8" s="28"/>
      <c r="F8" s="28"/>
      <c r="G8" s="28"/>
      <c r="H8" s="28"/>
      <c r="I8" s="28"/>
    </row>
    <row r="9" spans="1:9">
      <c r="A9" s="8" t="s">
        <v>21</v>
      </c>
      <c r="B9" s="9">
        <v>57.89</v>
      </c>
      <c r="C9" s="9">
        <v>64.099999999999994</v>
      </c>
      <c r="D9" s="9">
        <v>77.900000000000006</v>
      </c>
      <c r="E9" s="9">
        <v>75.73</v>
      </c>
      <c r="F9" s="9">
        <v>59.6</v>
      </c>
      <c r="G9" s="9">
        <v>85.43</v>
      </c>
      <c r="H9" s="10">
        <v>88.94</v>
      </c>
      <c r="I9" s="11">
        <v>68.72</v>
      </c>
    </row>
    <row r="10" spans="1:9">
      <c r="A10" s="8" t="s">
        <v>22</v>
      </c>
      <c r="B10" s="9">
        <v>76</v>
      </c>
      <c r="C10" s="9">
        <v>78</v>
      </c>
      <c r="D10" s="9">
        <v>78.5</v>
      </c>
      <c r="E10" s="9">
        <v>79.33</v>
      </c>
      <c r="F10" s="9">
        <v>75</v>
      </c>
      <c r="G10" s="9">
        <v>79.67</v>
      </c>
      <c r="H10" s="10">
        <v>83.33</v>
      </c>
      <c r="I10" s="11">
        <v>81.27</v>
      </c>
    </row>
    <row r="11" spans="1:9">
      <c r="A11" s="8" t="s">
        <v>23</v>
      </c>
      <c r="B11" s="9">
        <v>47.43</v>
      </c>
      <c r="C11" s="9">
        <v>38.6</v>
      </c>
      <c r="D11" s="9">
        <v>50</v>
      </c>
      <c r="E11" s="9">
        <v>58.02</v>
      </c>
      <c r="F11" s="9">
        <v>46.04</v>
      </c>
      <c r="G11" s="9">
        <v>53.96</v>
      </c>
      <c r="H11" s="10">
        <v>69.8</v>
      </c>
      <c r="I11" s="11">
        <v>64.819999999999993</v>
      </c>
    </row>
    <row r="12" spans="1:9">
      <c r="A12" s="8" t="s">
        <v>24</v>
      </c>
      <c r="B12" s="9">
        <v>51.8</v>
      </c>
      <c r="C12" s="9">
        <v>63</v>
      </c>
      <c r="D12" s="9">
        <v>57.2</v>
      </c>
      <c r="E12" s="9">
        <v>62.1</v>
      </c>
      <c r="F12" s="9">
        <v>57.7</v>
      </c>
      <c r="G12" s="9">
        <v>52.8</v>
      </c>
      <c r="H12" s="10">
        <v>68.099999999999994</v>
      </c>
      <c r="I12" s="11">
        <v>61.02</v>
      </c>
    </row>
    <row r="13" spans="1:9">
      <c r="A13" s="8" t="s">
        <v>25</v>
      </c>
      <c r="B13" s="9">
        <v>55.4</v>
      </c>
      <c r="C13" s="9">
        <v>69.2</v>
      </c>
      <c r="D13" s="9">
        <v>59.1</v>
      </c>
      <c r="E13" s="9">
        <v>70.2</v>
      </c>
      <c r="F13" s="9">
        <v>65.099999999999994</v>
      </c>
      <c r="G13" s="9">
        <v>55.4</v>
      </c>
      <c r="H13" s="10">
        <v>72.900000000000006</v>
      </c>
      <c r="I13" s="11">
        <v>52.05</v>
      </c>
    </row>
    <row r="14" spans="1:9">
      <c r="A14" s="12" t="s">
        <v>26</v>
      </c>
      <c r="B14" s="13">
        <v>57.7</v>
      </c>
      <c r="C14" s="13">
        <v>62.58</v>
      </c>
      <c r="D14" s="13">
        <v>64.540000000000006</v>
      </c>
      <c r="E14" s="13">
        <v>69.08</v>
      </c>
      <c r="F14" s="13">
        <v>60.69</v>
      </c>
      <c r="G14" s="13">
        <v>65.45</v>
      </c>
      <c r="H14" s="13">
        <v>76.61</v>
      </c>
      <c r="I14" s="14">
        <v>65.58</v>
      </c>
    </row>
    <row r="15" spans="1:9">
      <c r="A15" s="6"/>
      <c r="B15" s="7"/>
      <c r="C15" s="7"/>
      <c r="D15" s="7"/>
      <c r="E15" s="7"/>
      <c r="F15" s="7"/>
      <c r="G15" s="7"/>
      <c r="H15" s="7"/>
      <c r="I15" s="7"/>
    </row>
    <row r="16" spans="1:9">
      <c r="A16" s="27" t="s">
        <v>27</v>
      </c>
      <c r="B16" s="28"/>
      <c r="C16" s="28"/>
      <c r="D16" s="28"/>
      <c r="E16" s="28"/>
      <c r="F16" s="28"/>
      <c r="G16" s="28"/>
      <c r="H16" s="28"/>
      <c r="I16" s="28"/>
    </row>
    <row r="17" spans="1:9">
      <c r="A17" s="8" t="s">
        <v>21</v>
      </c>
      <c r="B17" s="9">
        <v>3.97</v>
      </c>
      <c r="C17" s="9">
        <v>4.42</v>
      </c>
      <c r="D17" s="9">
        <v>4.5</v>
      </c>
      <c r="E17" s="9">
        <v>4.46</v>
      </c>
      <c r="F17" s="9">
        <v>4.17</v>
      </c>
      <c r="G17" s="9">
        <v>4.5999999999999996</v>
      </c>
      <c r="H17" s="10">
        <v>4.8</v>
      </c>
      <c r="I17" s="11">
        <v>4.05</v>
      </c>
    </row>
    <row r="18" spans="1:9">
      <c r="A18" s="8" t="s">
        <v>28</v>
      </c>
      <c r="B18" s="9">
        <v>3.42</v>
      </c>
      <c r="C18" s="9">
        <v>4.1500000000000004</v>
      </c>
      <c r="D18" s="9">
        <v>4.05</v>
      </c>
      <c r="E18" s="9">
        <v>3.97</v>
      </c>
      <c r="F18" s="9">
        <v>3</v>
      </c>
      <c r="G18" s="9">
        <v>3.77</v>
      </c>
      <c r="H18" s="10">
        <v>4.42</v>
      </c>
      <c r="I18" s="11">
        <v>3.22</v>
      </c>
    </row>
    <row r="19" spans="1:9">
      <c r="A19" s="8" t="s">
        <v>29</v>
      </c>
      <c r="B19" s="9">
        <v>36.979999999999997</v>
      </c>
      <c r="C19" s="9">
        <v>50.72</v>
      </c>
      <c r="D19" s="9">
        <v>43.4</v>
      </c>
      <c r="E19" s="9">
        <v>63.12</v>
      </c>
      <c r="F19" s="9">
        <v>56.06</v>
      </c>
      <c r="G19" s="9">
        <v>54.79</v>
      </c>
      <c r="H19" s="10">
        <v>66.27</v>
      </c>
      <c r="I19" s="11">
        <v>63.65</v>
      </c>
    </row>
    <row r="20" spans="1:9">
      <c r="A20" s="8" t="s">
        <v>30</v>
      </c>
      <c r="B20" s="9">
        <v>39.75</v>
      </c>
      <c r="C20" s="9">
        <v>54.78</v>
      </c>
      <c r="D20" s="9">
        <v>57.25</v>
      </c>
      <c r="E20" s="9">
        <v>62.17</v>
      </c>
      <c r="F20" s="9">
        <v>52.18</v>
      </c>
      <c r="G20" s="9">
        <v>59.66</v>
      </c>
      <c r="H20" s="10">
        <v>71.08</v>
      </c>
      <c r="I20" s="11">
        <v>81.53</v>
      </c>
    </row>
    <row r="21" spans="1:9">
      <c r="A21" s="8" t="s">
        <v>31</v>
      </c>
      <c r="B21" s="9">
        <v>53.41</v>
      </c>
      <c r="C21" s="9">
        <v>78.02</v>
      </c>
      <c r="D21" s="9">
        <v>74.510000000000005</v>
      </c>
      <c r="E21" s="9">
        <v>83.52</v>
      </c>
      <c r="F21" s="9">
        <v>64.180000000000007</v>
      </c>
      <c r="G21" s="9">
        <v>73.41</v>
      </c>
      <c r="H21" s="10">
        <v>83.52</v>
      </c>
      <c r="I21" s="11">
        <v>88.57</v>
      </c>
    </row>
    <row r="22" spans="1:9">
      <c r="A22" s="8" t="s">
        <v>32</v>
      </c>
      <c r="B22" s="9">
        <v>52.8</v>
      </c>
      <c r="C22" s="9">
        <v>49.25</v>
      </c>
      <c r="D22" s="9">
        <v>54.54</v>
      </c>
      <c r="E22" s="9">
        <v>61.1</v>
      </c>
      <c r="F22" s="9">
        <v>38.01</v>
      </c>
      <c r="G22" s="9">
        <v>66.45</v>
      </c>
      <c r="H22" s="10">
        <v>78.52</v>
      </c>
      <c r="I22" s="11">
        <v>60.52</v>
      </c>
    </row>
    <row r="23" spans="1:9">
      <c r="A23" s="8" t="s">
        <v>33</v>
      </c>
      <c r="B23" s="9">
        <v>88.08</v>
      </c>
      <c r="C23" s="9">
        <v>97.69</v>
      </c>
      <c r="D23" s="9">
        <v>97.31</v>
      </c>
      <c r="E23" s="9">
        <v>100</v>
      </c>
      <c r="F23" s="9">
        <v>93.08</v>
      </c>
      <c r="G23" s="9">
        <v>96.73</v>
      </c>
      <c r="H23" s="10">
        <v>98.65</v>
      </c>
      <c r="I23" s="11">
        <v>99.8</v>
      </c>
    </row>
    <row r="24" spans="1:9">
      <c r="A24" s="12" t="s">
        <v>26</v>
      </c>
      <c r="B24" s="13">
        <v>59.83</v>
      </c>
      <c r="C24" s="13">
        <v>71.69</v>
      </c>
      <c r="D24" s="13">
        <v>71.14</v>
      </c>
      <c r="E24" s="13">
        <v>76.930000000000007</v>
      </c>
      <c r="F24" s="13">
        <v>63.84</v>
      </c>
      <c r="G24" s="13">
        <v>74.06</v>
      </c>
      <c r="H24" s="13">
        <v>83.21</v>
      </c>
      <c r="I24" s="14">
        <v>77.069999999999993</v>
      </c>
    </row>
    <row r="25" spans="1:9">
      <c r="A25" s="16"/>
      <c r="B25" s="15"/>
      <c r="C25" s="15"/>
      <c r="D25" s="15"/>
      <c r="E25" s="15"/>
      <c r="F25" s="15"/>
      <c r="G25" s="15"/>
      <c r="H25" s="15"/>
      <c r="I25" s="15"/>
    </row>
    <row r="27" spans="1:9" ht="30" customHeight="1">
      <c r="A27" s="29" t="s">
        <v>34</v>
      </c>
      <c r="B27" s="29"/>
      <c r="C27" s="29"/>
      <c r="D27" s="29"/>
      <c r="E27" s="29"/>
      <c r="F27" s="29"/>
      <c r="G27" s="31" t="s">
        <v>35</v>
      </c>
      <c r="H27" s="32"/>
      <c r="I27" s="33"/>
    </row>
    <row r="28" spans="1:9" ht="24" customHeight="1">
      <c r="A28" s="30" t="s">
        <v>36</v>
      </c>
      <c r="B28" s="30"/>
      <c r="C28" s="30"/>
      <c r="D28" s="30"/>
      <c r="E28" s="30"/>
      <c r="F28" s="30"/>
      <c r="G28" s="23" t="s">
        <v>37</v>
      </c>
      <c r="H28" s="34">
        <f>H51</f>
        <v>55</v>
      </c>
      <c r="I28" s="35"/>
    </row>
    <row r="29" spans="1:9" ht="24" customHeight="1">
      <c r="A29" s="30"/>
      <c r="B29" s="30"/>
      <c r="C29" s="30"/>
      <c r="D29" s="30"/>
      <c r="E29" s="30"/>
      <c r="F29" s="30"/>
      <c r="G29" s="24" t="s">
        <v>38</v>
      </c>
      <c r="H29" s="36">
        <f>A51</f>
        <v>21</v>
      </c>
      <c r="I29" s="37"/>
    </row>
    <row r="30" spans="1:9" ht="26.1" customHeight="1">
      <c r="A30" s="17" t="s">
        <v>39</v>
      </c>
      <c r="B30" s="38" t="s">
        <v>40</v>
      </c>
      <c r="C30" s="38"/>
      <c r="D30" s="38"/>
      <c r="E30" s="38"/>
      <c r="F30" s="38"/>
      <c r="G30" s="38"/>
      <c r="H30" s="38" t="s">
        <v>41</v>
      </c>
      <c r="I30" s="38"/>
    </row>
    <row r="31" spans="1:9" ht="21" customHeight="1">
      <c r="A31" s="20">
        <f t="shared" ref="A31:A57" si="0">ROW()-30</f>
        <v>1</v>
      </c>
      <c r="B31" s="39" t="s">
        <v>42</v>
      </c>
      <c r="C31" s="40"/>
      <c r="D31" s="40"/>
      <c r="E31" s="40"/>
      <c r="F31" s="40"/>
      <c r="G31" s="40"/>
      <c r="H31" s="41">
        <v>98.7</v>
      </c>
      <c r="I31" s="40"/>
    </row>
    <row r="32" spans="1:9" ht="21" customHeight="1">
      <c r="A32" s="21">
        <f t="shared" si="0"/>
        <v>2</v>
      </c>
      <c r="B32" s="42" t="s">
        <v>43</v>
      </c>
      <c r="C32" s="43"/>
      <c r="D32" s="43"/>
      <c r="E32" s="43"/>
      <c r="F32" s="43"/>
      <c r="G32" s="43"/>
      <c r="H32" s="44">
        <v>97.6</v>
      </c>
      <c r="I32" s="43"/>
    </row>
    <row r="33" spans="1:9" ht="21" customHeight="1">
      <c r="A33" s="21">
        <f t="shared" si="0"/>
        <v>3</v>
      </c>
      <c r="B33" s="42" t="s">
        <v>44</v>
      </c>
      <c r="C33" s="43"/>
      <c r="D33" s="43"/>
      <c r="E33" s="43"/>
      <c r="F33" s="43"/>
      <c r="G33" s="43"/>
      <c r="H33" s="44">
        <v>97.6</v>
      </c>
      <c r="I33" s="43"/>
    </row>
    <row r="34" spans="1:9" ht="21" customHeight="1">
      <c r="A34" s="18">
        <f t="shared" si="0"/>
        <v>4</v>
      </c>
      <c r="B34" s="45" t="s">
        <v>45</v>
      </c>
      <c r="C34" s="46"/>
      <c r="D34" s="46"/>
      <c r="E34" s="46"/>
      <c r="F34" s="46"/>
      <c r="G34" s="46"/>
      <c r="H34" s="47">
        <v>97.1</v>
      </c>
      <c r="I34" s="46"/>
    </row>
    <row r="35" spans="1:9" ht="21" customHeight="1">
      <c r="A35" s="18">
        <f t="shared" si="0"/>
        <v>5</v>
      </c>
      <c r="B35" s="45" t="s">
        <v>46</v>
      </c>
      <c r="C35" s="46"/>
      <c r="D35" s="46"/>
      <c r="E35" s="46"/>
      <c r="F35" s="46"/>
      <c r="G35" s="46"/>
      <c r="H35" s="47">
        <v>96.6</v>
      </c>
      <c r="I35" s="46"/>
    </row>
    <row r="36" spans="1:9" ht="21" customHeight="1">
      <c r="A36" s="18">
        <f t="shared" si="0"/>
        <v>6</v>
      </c>
      <c r="B36" s="45" t="s">
        <v>47</v>
      </c>
      <c r="C36" s="46"/>
      <c r="D36" s="46"/>
      <c r="E36" s="46"/>
      <c r="F36" s="46"/>
      <c r="G36" s="46"/>
      <c r="H36" s="47">
        <v>96.6</v>
      </c>
      <c r="I36" s="46"/>
    </row>
    <row r="37" spans="1:9" ht="21" customHeight="1">
      <c r="A37" s="18">
        <f t="shared" si="0"/>
        <v>7</v>
      </c>
      <c r="B37" s="45" t="s">
        <v>48</v>
      </c>
      <c r="C37" s="46"/>
      <c r="D37" s="46"/>
      <c r="E37" s="46"/>
      <c r="F37" s="46"/>
      <c r="G37" s="46"/>
      <c r="H37" s="47">
        <v>93.3</v>
      </c>
      <c r="I37" s="46"/>
    </row>
    <row r="38" spans="1:9" ht="21" customHeight="1">
      <c r="A38" s="18">
        <f t="shared" si="0"/>
        <v>8</v>
      </c>
      <c r="B38" s="45" t="s">
        <v>49</v>
      </c>
      <c r="C38" s="46"/>
      <c r="D38" s="46"/>
      <c r="E38" s="46"/>
      <c r="F38" s="46"/>
      <c r="G38" s="46"/>
      <c r="H38" s="47">
        <v>90.7</v>
      </c>
      <c r="I38" s="46"/>
    </row>
    <row r="39" spans="1:9" ht="21" customHeight="1">
      <c r="A39" s="18">
        <f t="shared" si="0"/>
        <v>9</v>
      </c>
      <c r="B39" s="45" t="s">
        <v>50</v>
      </c>
      <c r="C39" s="46"/>
      <c r="D39" s="46"/>
      <c r="E39" s="46"/>
      <c r="F39" s="46"/>
      <c r="G39" s="46"/>
      <c r="H39" s="47">
        <v>88.1</v>
      </c>
      <c r="I39" s="46"/>
    </row>
    <row r="40" spans="1:9" ht="21" customHeight="1">
      <c r="A40" s="18">
        <f t="shared" si="0"/>
        <v>10</v>
      </c>
      <c r="B40" s="45" t="s">
        <v>51</v>
      </c>
      <c r="C40" s="46"/>
      <c r="D40" s="46"/>
      <c r="E40" s="46"/>
      <c r="F40" s="46"/>
      <c r="G40" s="46"/>
      <c r="H40" s="47">
        <v>85</v>
      </c>
      <c r="I40" s="46"/>
    </row>
    <row r="41" spans="1:9" ht="21" customHeight="1">
      <c r="A41" s="18">
        <f t="shared" si="0"/>
        <v>11</v>
      </c>
      <c r="B41" s="45" t="s">
        <v>52</v>
      </c>
      <c r="C41" s="46"/>
      <c r="D41" s="46"/>
      <c r="E41" s="46"/>
      <c r="F41" s="46"/>
      <c r="G41" s="46"/>
      <c r="H41" s="47">
        <v>83.3</v>
      </c>
      <c r="I41" s="46"/>
    </row>
    <row r="42" spans="1:9" ht="21" customHeight="1">
      <c r="A42" s="18">
        <f t="shared" si="0"/>
        <v>12</v>
      </c>
      <c r="B42" s="45" t="s">
        <v>53</v>
      </c>
      <c r="C42" s="46"/>
      <c r="D42" s="46"/>
      <c r="E42" s="46"/>
      <c r="F42" s="46"/>
      <c r="G42" s="46"/>
      <c r="H42" s="47">
        <v>81.400000000000006</v>
      </c>
      <c r="I42" s="46"/>
    </row>
    <row r="43" spans="1:9" ht="21" customHeight="1">
      <c r="A43" s="18">
        <f t="shared" si="0"/>
        <v>13</v>
      </c>
      <c r="B43" s="45" t="s">
        <v>54</v>
      </c>
      <c r="C43" s="46"/>
      <c r="D43" s="46"/>
      <c r="E43" s="46"/>
      <c r="F43" s="46"/>
      <c r="G43" s="46"/>
      <c r="H43" s="47">
        <v>71.8</v>
      </c>
      <c r="I43" s="46"/>
    </row>
    <row r="44" spans="1:9" ht="21" customHeight="1">
      <c r="A44" s="18">
        <f t="shared" si="0"/>
        <v>14</v>
      </c>
      <c r="B44" s="45" t="s">
        <v>55</v>
      </c>
      <c r="C44" s="46"/>
      <c r="D44" s="46"/>
      <c r="E44" s="46"/>
      <c r="F44" s="46"/>
      <c r="G44" s="46"/>
      <c r="H44" s="47">
        <v>71.3</v>
      </c>
      <c r="I44" s="46"/>
    </row>
    <row r="45" spans="1:9" ht="21" customHeight="1">
      <c r="A45" s="18">
        <f t="shared" si="0"/>
        <v>15</v>
      </c>
      <c r="B45" s="45" t="s">
        <v>56</v>
      </c>
      <c r="C45" s="46"/>
      <c r="D45" s="46"/>
      <c r="E45" s="46"/>
      <c r="F45" s="46"/>
      <c r="G45" s="46"/>
      <c r="H45" s="47">
        <v>68.900000000000006</v>
      </c>
      <c r="I45" s="46"/>
    </row>
    <row r="46" spans="1:9" ht="21" customHeight="1">
      <c r="A46" s="18">
        <f t="shared" si="0"/>
        <v>16</v>
      </c>
      <c r="B46" s="45" t="s">
        <v>57</v>
      </c>
      <c r="C46" s="46"/>
      <c r="D46" s="46"/>
      <c r="E46" s="46"/>
      <c r="F46" s="46"/>
      <c r="G46" s="46"/>
      <c r="H46" s="47">
        <v>68.599999999999994</v>
      </c>
      <c r="I46" s="46"/>
    </row>
    <row r="47" spans="1:9" ht="21" customHeight="1">
      <c r="A47" s="18">
        <f t="shared" si="0"/>
        <v>17</v>
      </c>
      <c r="B47" s="45" t="s">
        <v>58</v>
      </c>
      <c r="C47" s="46"/>
      <c r="D47" s="46"/>
      <c r="E47" s="46"/>
      <c r="F47" s="46"/>
      <c r="G47" s="46"/>
      <c r="H47" s="47">
        <v>63.6</v>
      </c>
      <c r="I47" s="46"/>
    </row>
    <row r="48" spans="1:9" ht="21" customHeight="1">
      <c r="A48" s="18">
        <f t="shared" si="0"/>
        <v>18</v>
      </c>
      <c r="B48" s="45" t="s">
        <v>59</v>
      </c>
      <c r="C48" s="46"/>
      <c r="D48" s="46"/>
      <c r="E48" s="46"/>
      <c r="F48" s="46"/>
      <c r="G48" s="46"/>
      <c r="H48" s="47">
        <v>59</v>
      </c>
      <c r="I48" s="46"/>
    </row>
    <row r="49" spans="1:9" ht="21" customHeight="1">
      <c r="A49" s="18">
        <f t="shared" si="0"/>
        <v>19</v>
      </c>
      <c r="B49" s="45" t="s">
        <v>60</v>
      </c>
      <c r="C49" s="46"/>
      <c r="D49" s="46"/>
      <c r="E49" s="46"/>
      <c r="F49" s="46"/>
      <c r="G49" s="46"/>
      <c r="H49" s="47">
        <v>58.7</v>
      </c>
      <c r="I49" s="46"/>
    </row>
    <row r="50" spans="1:9" ht="21" customHeight="1">
      <c r="A50" s="18">
        <f t="shared" si="0"/>
        <v>20</v>
      </c>
      <c r="B50" s="45" t="s">
        <v>61</v>
      </c>
      <c r="C50" s="46"/>
      <c r="D50" s="46"/>
      <c r="E50" s="46"/>
      <c r="F50" s="46"/>
      <c r="G50" s="46"/>
      <c r="H50" s="47">
        <v>56.8</v>
      </c>
      <c r="I50" s="46"/>
    </row>
    <row r="51" spans="1:9" ht="21" customHeight="1">
      <c r="A51" s="22">
        <f t="shared" si="0"/>
        <v>21</v>
      </c>
      <c r="B51" s="48" t="s">
        <v>62</v>
      </c>
      <c r="C51" s="49"/>
      <c r="D51" s="49"/>
      <c r="E51" s="49"/>
      <c r="F51" s="49"/>
      <c r="G51" s="49"/>
      <c r="H51" s="50">
        <v>55</v>
      </c>
      <c r="I51" s="49"/>
    </row>
    <row r="52" spans="1:9" ht="21" customHeight="1">
      <c r="A52" s="18">
        <f t="shared" si="0"/>
        <v>22</v>
      </c>
      <c r="B52" s="45" t="s">
        <v>63</v>
      </c>
      <c r="C52" s="46"/>
      <c r="D52" s="46"/>
      <c r="E52" s="46"/>
      <c r="F52" s="46"/>
      <c r="G52" s="46"/>
      <c r="H52" s="47">
        <v>54.3</v>
      </c>
      <c r="I52" s="46"/>
    </row>
    <row r="53" spans="1:9" ht="21" customHeight="1">
      <c r="A53" s="18">
        <f t="shared" si="0"/>
        <v>23</v>
      </c>
      <c r="B53" s="45" t="s">
        <v>64</v>
      </c>
      <c r="C53" s="46"/>
      <c r="D53" s="46"/>
      <c r="E53" s="46"/>
      <c r="F53" s="46"/>
      <c r="G53" s="46"/>
      <c r="H53" s="47">
        <v>38.799999999999997</v>
      </c>
      <c r="I53" s="46"/>
    </row>
    <row r="54" spans="1:9" ht="21" customHeight="1">
      <c r="A54" s="18">
        <f t="shared" si="0"/>
        <v>24</v>
      </c>
      <c r="B54" s="45" t="s">
        <v>65</v>
      </c>
      <c r="C54" s="46"/>
      <c r="D54" s="46"/>
      <c r="E54" s="46"/>
      <c r="F54" s="46"/>
      <c r="G54" s="46"/>
      <c r="H54" s="47">
        <v>33.4</v>
      </c>
      <c r="I54" s="46"/>
    </row>
    <row r="55" spans="1:9" ht="21" customHeight="1">
      <c r="A55" s="18">
        <f t="shared" si="0"/>
        <v>25</v>
      </c>
      <c r="B55" s="45" t="s">
        <v>66</v>
      </c>
      <c r="C55" s="46"/>
      <c r="D55" s="46"/>
      <c r="E55" s="46"/>
      <c r="F55" s="46"/>
      <c r="G55" s="46"/>
      <c r="H55" s="47">
        <v>19.100000000000001</v>
      </c>
      <c r="I55" s="46"/>
    </row>
    <row r="56" spans="1:9" ht="21" customHeight="1">
      <c r="A56" s="18">
        <f t="shared" si="0"/>
        <v>26</v>
      </c>
      <c r="B56" s="45" t="s">
        <v>67</v>
      </c>
      <c r="C56" s="46"/>
      <c r="D56" s="46"/>
      <c r="E56" s="46"/>
      <c r="F56" s="46"/>
      <c r="G56" s="46"/>
      <c r="H56" s="47">
        <v>16</v>
      </c>
      <c r="I56" s="46"/>
    </row>
    <row r="57" spans="1:9" ht="21" customHeight="1">
      <c r="A57" s="19">
        <f t="shared" si="0"/>
        <v>27</v>
      </c>
      <c r="B57" s="51" t="s">
        <v>68</v>
      </c>
      <c r="C57" s="52"/>
      <c r="D57" s="52"/>
      <c r="E57" s="52"/>
      <c r="F57" s="52"/>
      <c r="G57" s="52"/>
      <c r="H57" s="53">
        <v>4.4000000000000004</v>
      </c>
      <c r="I57" s="52"/>
    </row>
    <row r="59" spans="1:9" ht="23.1" customHeight="1"/>
    <row r="60" spans="1:9" ht="23.1" customHeight="1"/>
  </sheetData>
  <mergeCells count="64">
    <mergeCell ref="B57:G57"/>
    <mergeCell ref="H57:I57"/>
    <mergeCell ref="B54:G54"/>
    <mergeCell ref="H54:I54"/>
    <mergeCell ref="B55:G55"/>
    <mergeCell ref="H55:I55"/>
    <mergeCell ref="B56:G56"/>
    <mergeCell ref="H56:I56"/>
    <mergeCell ref="B51:G51"/>
    <mergeCell ref="H51:I51"/>
    <mergeCell ref="B52:G52"/>
    <mergeCell ref="H52:I52"/>
    <mergeCell ref="B53:G53"/>
    <mergeCell ref="H53:I53"/>
    <mergeCell ref="B48:G48"/>
    <mergeCell ref="H48:I48"/>
    <mergeCell ref="B49:G49"/>
    <mergeCell ref="H49:I49"/>
    <mergeCell ref="B50:G50"/>
    <mergeCell ref="H50:I50"/>
    <mergeCell ref="B45:G45"/>
    <mergeCell ref="H45:I45"/>
    <mergeCell ref="B46:G46"/>
    <mergeCell ref="H46:I46"/>
    <mergeCell ref="B47:G47"/>
    <mergeCell ref="H47:I47"/>
    <mergeCell ref="B42:G42"/>
    <mergeCell ref="H42:I42"/>
    <mergeCell ref="B43:G43"/>
    <mergeCell ref="H43:I43"/>
    <mergeCell ref="B44:G44"/>
    <mergeCell ref="H44:I44"/>
    <mergeCell ref="B39:G39"/>
    <mergeCell ref="H39:I39"/>
    <mergeCell ref="B40:G40"/>
    <mergeCell ref="H40:I40"/>
    <mergeCell ref="B41:G41"/>
    <mergeCell ref="H41:I41"/>
    <mergeCell ref="B36:G36"/>
    <mergeCell ref="H36:I36"/>
    <mergeCell ref="B37:G37"/>
    <mergeCell ref="H37:I37"/>
    <mergeCell ref="B38:G38"/>
    <mergeCell ref="H38:I38"/>
    <mergeCell ref="B33:G33"/>
    <mergeCell ref="H33:I33"/>
    <mergeCell ref="B34:G34"/>
    <mergeCell ref="H34:I34"/>
    <mergeCell ref="B35:G35"/>
    <mergeCell ref="H35:I35"/>
    <mergeCell ref="B30:G30"/>
    <mergeCell ref="H30:I30"/>
    <mergeCell ref="B31:G31"/>
    <mergeCell ref="H31:I31"/>
    <mergeCell ref="B32:G32"/>
    <mergeCell ref="H32:I32"/>
    <mergeCell ref="A1:I1"/>
    <mergeCell ref="A8:I8"/>
    <mergeCell ref="A16:I16"/>
    <mergeCell ref="A27:F27"/>
    <mergeCell ref="A28:F29"/>
    <mergeCell ref="G27:I27"/>
    <mergeCell ref="H28:I28"/>
    <mergeCell ref="H29:I29"/>
  </mergeCells>
  <phoneticPr fontId="8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陈稳</dc:creator>
  <cp:lastModifiedBy>稳 陈</cp:lastModifiedBy>
  <dcterms:created xsi:type="dcterms:W3CDTF">2026-07-15T07:52:42Z</dcterms:created>
  <dcterms:modified xsi:type="dcterms:W3CDTF">2026-07-15T07:52:42Z</dcterms:modified>
</cp:coreProperties>
</file>
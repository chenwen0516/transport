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/>
  <mc:AlternateContent xmlns:mc="http://schemas.openxmlformats.org/markup-compatibility/2006">
    <mc:Choice Requires="x15">
      <x15ac:absPath xmlns:x15ac="http://schemas.microsoft.com/office/spreadsheetml/2010/11/ac" url="D:\work\CMC\"/>
    </mc:Choice>
  </mc:AlternateContent>
  <xr:revisionPtr revIDLastSave="0" documentId="13_ncr:1_{1CB1438F-5951-4DB2-A61E-C26F2D4F3045}" xr6:coauthVersionLast="36" xr6:coauthVersionMax="36" xr10:uidLastSave="{00000000-0000-0000-0000-000000000000}"/>
  <bookViews>
    <workbookView xWindow="0" yWindow="0" windowWidth="29040" windowHeight="15720" tabRatio="544" xr2:uid="{00000000-000D-0000-FFFF-FFFF00000000}"/>
  </bookViews>
  <sheets>
    <sheet name="人员评价标准" sheetId="14" r:id="rId1"/>
    <sheet name="评价标准-代码" sheetId="10" r:id="rId2"/>
    <sheet name="评价标准-软件" sheetId="13" r:id="rId3"/>
  </sheets>
  <calcPr calcId="191029"/>
</workbook>
</file>

<file path=xl/calcChain.xml><?xml version="1.0" encoding="utf-8"?>
<calcChain xmlns="http://schemas.openxmlformats.org/spreadsheetml/2006/main">
  <c r="C10" i="14" l="1"/>
  <c r="B10" i="14"/>
  <c r="D10" i="14" s="1"/>
  <c r="E10" i="14" s="1"/>
  <c r="D6" i="14"/>
  <c r="D5" i="14"/>
  <c r="D4" i="14"/>
  <c r="D3" i="14"/>
</calcChain>
</file>

<file path=xl/sharedStrings.xml><?xml version="1.0" encoding="utf-8"?>
<sst xmlns="http://schemas.openxmlformats.org/spreadsheetml/2006/main" count="58" uniqueCount="51">
  <si>
    <t>角色</t>
  </si>
  <si>
    <t>代码贡献X(%)</t>
  </si>
  <si>
    <t>软件贡献Y(%)</t>
  </si>
  <si>
    <t>满分</t>
  </si>
  <si>
    <t>开发人员</t>
  </si>
  <si>
    <t>Committer</t>
  </si>
  <si>
    <t>TL\SE</t>
  </si>
  <si>
    <t>SL</t>
  </si>
  <si>
    <t>代码贡献得分</t>
  </si>
  <si>
    <t>软件贡献得分</t>
  </si>
  <si>
    <t>总得分
(分值)</t>
  </si>
  <si>
    <t>总得分
(比例)</t>
  </si>
  <si>
    <t>大类</t>
  </si>
  <si>
    <t>维度</t>
  </si>
  <si>
    <t>评价标准</t>
  </si>
  <si>
    <t>自评得分</t>
  </si>
  <si>
    <t>自评举证</t>
  </si>
  <si>
    <t>代码质量</t>
  </si>
  <si>
    <t>软件编码</t>
  </si>
  <si>
    <t>1. 代码输出&gt;=1500
2. 符合CleanCode 7特性 ，codecheck告警清零，门禁指标满足要求，符合公司编程规范
3、功能正确，满足客户需求
4、代码符合SOLID原则
5、代码符合安全红线要求</t>
  </si>
  <si>
    <t>简洁-无冗余</t>
  </si>
  <si>
    <t>1. 代码重复率低，Java/Python 5%以下，C/C++可以放宽到10%
2. 类、函数、变量职责单一，无冗余变量、冗余分支等，无效代码及时清理，无注释代码段
3. 代码是否存在更好的实现方式，代码更少、业务更清晰</t>
  </si>
  <si>
    <t>抽象-面向领域</t>
  </si>
  <si>
    <t>1. 代码分层是否清晰，核心业务逻辑是否置于明确1-2层中，而非散落在各个分层中
2. 模型抽象是否是面向具体领域的，而非面向实现的，如模型中是否仅包含领域相关的字段，无由具体实现引入的额外字段
3. 讲解核心抽象的价值和背景，此种抽象解决了什么核心问题，在可扩展性上做了哪些考虑，能应对何种新需求</t>
  </si>
  <si>
    <t>机制-公共复用</t>
  </si>
  <si>
    <t>1. 代码中是否有明确的公共机制层(util等命名)，公共机制是否业务无关
2. 是否有抽取、构建模块级、服务级、部门级等公共可复用的机制，包括库、工具、服务等
3. 构建的公共复用机制是否有效减少开发工作量，提高生产力，是否具备可复制性</t>
  </si>
  <si>
    <t>质量-安全可靠</t>
  </si>
  <si>
    <t>1. 代码在安全上做了何种设计，如通信采用HTTPS，证书\Token认证，接口是否可审计，密码等配置是否做了加密等
2. 代码在可靠性上做了何种设计，如不同业务是否采用了不同的线程池做隔离，是否有必要的重试机制，是否有缓存、降级、限流等异常场景设计
3. 如微服务，部署上是否为多实例，是否有必要的分布式锁、选主控制等</t>
  </si>
  <si>
    <t>现网运行表现</t>
  </si>
  <si>
    <t>1. 现网运行无因代码问题导致的P3级以上事故，无明显的基础问题和致命问题；
2. 在依赖服务有问题时，能够通过韧性、可靠性的功能设计来提升服务可靠性。
3. 软件使用和开发对接体验好，从使用流程设计、UI、SDK等方面降低开发者和客户的对接难度，降低现网的工单油耗。
4. 问题闭环符合SLA要求
5. 质量加固，输出加固方案或者代码，类似问题能避免或者自动恢复</t>
  </si>
  <si>
    <t>开发者测试</t>
  </si>
  <si>
    <t>测试代码</t>
  </si>
  <si>
    <t>1. 是否存在有效的单元测试，单元测试代码是否在任意可编译构建的环境下执行
2. 测试代码是否遵守AIR原则，即自动化、独立性、可重复
3. 单元测试代码质量是否和生产代码一样保持高质量，符合CleanCode特征
4. 测试代码总代码量/生产代码总代码量是否大于等于1/2
5. 单元测试覆盖率行是否高于60%
6. 交付代码有完整测试防护，对高风险代码开展DT-Fuzz测试</t>
  </si>
  <si>
    <t>持续重构</t>
  </si>
  <si>
    <t>重构代码</t>
  </si>
  <si>
    <t>1. 掌握常用的设计模式，能有效识别代码坏味道并持续重构
2. 是否有单独的重构需求承载重构任务，并给出明确的MR举证
3. 是否存在持续重构, 代码满足L3级别CleanCode的要求：服务架构敏捷，满足安全韧性要求，具备可扩展性和可维护性，组件间独立解耦，独立发布。
4. 重构符合CleanCode特征
5. 改进责任田代码质量。自下而上识别问题，主动制定改进计划；主导重构，达成重构目标。</t>
  </si>
  <si>
    <t>架构设计与看护</t>
  </si>
  <si>
    <t>架构设计及基线整理</t>
  </si>
  <si>
    <t>1.负责/主导/参与产品或跨产品的架构设计活动，输出件通过TMG评审并正式归档，积极做好日常维护。
2.整理输出产品的各种架构设计基线（运维、资源、可靠性、安全、UCD等等），输出件通过TMG评审并正式归档，积极做好日常维护。
3.主动发起或投入产品技术债务清偿、架构重构活动。</t>
  </si>
  <si>
    <t>竞争力及需求管理</t>
  </si>
  <si>
    <t>1.负责/主导/参与产品的技术竞争力沙盘整理、维护，规划产品关键技术路标，推动技术竞争力落地。
2.配合产品经理完成需求澄清、整理、分析及分解推动工作，支撑SL完成需求迭代交付落地，并积极响应各类技术排查活动。
3.主导/参与产品的生态竞争力构建，分析产品所属行业的上下游现状，积极整理输出相关标准化设计，引导生态合作和发展。
4.积极提炼业务相关的论文、专利，构建业界技术影响力和优势。</t>
  </si>
  <si>
    <t>关键特性&amp;可信设计</t>
  </si>
  <si>
    <t>1.负责服务关键特性设计，并输出设计说明书并通过TMG评审归档
2.深刻理解公司可信能力定义，熟悉各安全设计工具、技术货架和配套设施，输出服务可信能力目标和技术落地方案
3.设计文档规范，对可靠性、性能、可维护性等DFX属性考虑完全，无场景遗漏</t>
  </si>
  <si>
    <t>代码检视、软件技能传承及工具方法探索</t>
  </si>
  <si>
    <t>代码检视</t>
  </si>
  <si>
    <t>1. 积极投入各种代码检视活动，输出严格、专业的检视意见，确保代码达成Clean Code、高质量目标
2. 跨服务支撑其他服务的代码检视相关活动
3.基本要求：(commiter)检视意见&gt;=100/年
   优秀要求：(commiter)检视意见&gt;=200/年
4.review质量达到CleanCode 7特征要求
5.不审核或合入自己开发的代码</t>
  </si>
  <si>
    <t>技术赋能</t>
  </si>
  <si>
    <t>1.跨服务设计活动支援，包括技术选型建议、技术方案设计参考、技术评审意见输出等。
2.积极投入团队技术能力提升活动，如交流、培训等方式，培养后备资源，夯实业务能力储备。
3.积极转换个人隐性知识到显性知识，包括各类技术博文、技术地图、技术总结等，积累一定的访问量。
4. 积极参与对周边的技术分享、技术培训活动，扩大技术受益面(部门\BU\公司)，建立技术影响力。</t>
  </si>
  <si>
    <t>工具规范</t>
  </si>
  <si>
    <t>1. 积极引入优秀的软件工程实践、方法，制定适合团队的标准、规范提升整体开发流程规范性
2. 积极引入、构建面向服务、通用的工具、库等，有效提升团队生产力
3. 积极投入产品开发指南、一线顶层设计、技术白皮书等输出活动，做好产品对外技术影响力扩展。</t>
  </si>
  <si>
    <t>1. 代码贡献为8项和软件贡献为6项，每项评分为0、1、2、3分
2. 开发、Committer代码贡献权重高，TL\SE\SL软件贡献权重高
3. 满分为：8*3(代码贡献) * x + 6*3(软件贡献) * y，其中x+y=1
---
示例：
开发人员如只有代码贡献，无软件贡献，则最高得分为 3*8*0.9=21.6分
SL只有软件贡献，无代码贡献，则最高得分为3*6*0.8=14.4分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</si>
</sst>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3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Border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top"/>
    </xf>
    <xf numFmtId="0" fontId="5" fillId="3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10" fontId="0" fillId="0" borderId="2" xfId="0" applyNumberFormat="1" applyBorder="1">
      <alignment vertical="center"/>
    </xf>
    <xf numFmtId="0" fontId="3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sqref="A1:D1"/>
    </sheetView>
  </sheetViews>
  <sheetFormatPr defaultColWidth="9" defaultRowHeight="13.5" x14ac:dyDescent="0.15"/>
  <cols>
    <col min="1" max="1" width="24.875" customWidth="1"/>
    <col min="2" max="2" width="28.375" customWidth="1"/>
    <col min="3" max="3" width="32.125" customWidth="1"/>
    <col min="5" max="5" width="9.375"/>
  </cols>
  <sheetData>
    <row r="1" spans="1:5" ht="122.25" customHeight="1" x14ac:dyDescent="0.15">
      <c r="A1" s="36" t="s">
        <v>50</v>
      </c>
      <c r="B1" s="30"/>
      <c r="C1" s="30"/>
      <c r="D1" s="30"/>
    </row>
    <row r="2" spans="1:5" ht="18" customHeight="1" x14ac:dyDescent="0.15">
      <c r="A2" s="20" t="s">
        <v>0</v>
      </c>
      <c r="B2" s="20" t="s">
        <v>1</v>
      </c>
      <c r="C2" s="21" t="s">
        <v>2</v>
      </c>
      <c r="D2" s="20" t="s">
        <v>3</v>
      </c>
    </row>
    <row r="3" spans="1:5" ht="18" customHeight="1" x14ac:dyDescent="0.15">
      <c r="A3" s="22" t="s">
        <v>4</v>
      </c>
      <c r="B3" s="23">
        <v>80</v>
      </c>
      <c r="C3" s="24">
        <v>20</v>
      </c>
      <c r="D3" s="16">
        <f>3*8*B3/100+3*6*C3/100</f>
        <v>22.8</v>
      </c>
    </row>
    <row r="4" spans="1:5" ht="18" customHeight="1" x14ac:dyDescent="0.15">
      <c r="A4" s="2" t="s">
        <v>5</v>
      </c>
      <c r="B4" s="8">
        <v>60</v>
      </c>
      <c r="C4" s="25">
        <v>40</v>
      </c>
      <c r="D4" s="16">
        <f>3*8*B4/100+3*6*C4/100</f>
        <v>21.6</v>
      </c>
    </row>
    <row r="5" spans="1:5" ht="18" customHeight="1" x14ac:dyDescent="0.15">
      <c r="A5" s="2" t="s">
        <v>6</v>
      </c>
      <c r="B5" s="8">
        <v>30</v>
      </c>
      <c r="C5" s="25">
        <v>70</v>
      </c>
      <c r="D5" s="16">
        <f>3*8*B5/100+3*6*C5/100</f>
        <v>19.8</v>
      </c>
    </row>
    <row r="6" spans="1:5" ht="18" customHeight="1" x14ac:dyDescent="0.15">
      <c r="A6" s="2" t="s">
        <v>7</v>
      </c>
      <c r="B6" s="8">
        <v>20</v>
      </c>
      <c r="C6" s="25">
        <v>80</v>
      </c>
      <c r="D6" s="16">
        <f>3*8*B6/100+3*6*C6/100</f>
        <v>19.2</v>
      </c>
    </row>
    <row r="7" spans="1:5" s="19" customFormat="1" ht="15" customHeight="1" x14ac:dyDescent="0.15">
      <c r="A7" s="26"/>
      <c r="B7" s="26"/>
      <c r="C7" s="26"/>
    </row>
    <row r="8" spans="1:5" s="19" customFormat="1" ht="27" customHeight="1" x14ac:dyDescent="0.15"/>
    <row r="9" spans="1:5" s="19" customFormat="1" ht="30.75" customHeight="1" x14ac:dyDescent="0.15">
      <c r="A9" s="20" t="s">
        <v>0</v>
      </c>
      <c r="B9" s="20" t="s">
        <v>8</v>
      </c>
      <c r="C9" s="20" t="s">
        <v>9</v>
      </c>
      <c r="D9" s="27" t="s">
        <v>10</v>
      </c>
      <c r="E9" s="27" t="s">
        <v>11</v>
      </c>
    </row>
    <row r="10" spans="1:5" s="19" customFormat="1" ht="15" customHeight="1" x14ac:dyDescent="0.15">
      <c r="A10" s="2" t="s">
        <v>7</v>
      </c>
      <c r="B10" s="28">
        <f>SUM('评价标准-代码'!D2:D9)*VLOOKUP(A10,A3:B6,2,FALSE)/100</f>
        <v>0</v>
      </c>
      <c r="C10" s="28">
        <f>SUM('评价标准-软件'!D2:D7)*VLOOKUP(A10,A3:C6,3,FALSE)/100</f>
        <v>0</v>
      </c>
      <c r="D10" s="28">
        <f>B10+C10</f>
        <v>0</v>
      </c>
      <c r="E10" s="29">
        <f>D10/VLOOKUP(A10,A3:D6,4,FALSE)</f>
        <v>0</v>
      </c>
    </row>
    <row r="11" spans="1:5" s="19" customFormat="1" ht="15" customHeight="1" x14ac:dyDescent="0.15"/>
    <row r="12" spans="1:5" s="19" customFormat="1" ht="15" customHeight="1" x14ac:dyDescent="0.15"/>
    <row r="13" spans="1:5" s="19" customFormat="1" ht="15" customHeight="1" x14ac:dyDescent="0.15"/>
    <row r="14" spans="1:5" s="19" customFormat="1" ht="15" customHeight="1" x14ac:dyDescent="0.15">
      <c r="A14" s="26"/>
      <c r="B14" s="26"/>
      <c r="C14" s="26"/>
    </row>
    <row r="15" spans="1:5" s="19" customFormat="1" ht="15" customHeight="1" x14ac:dyDescent="0.15">
      <c r="A15" s="26"/>
      <c r="B15" s="26"/>
      <c r="C15" s="26"/>
    </row>
    <row r="16" spans="1:5" s="19" customFormat="1" ht="15" customHeight="1" x14ac:dyDescent="0.15">
      <c r="A16" s="26"/>
      <c r="B16" s="26"/>
      <c r="C16" s="26"/>
    </row>
  </sheetData>
  <sheetProtection formatCells="0" insertHyperlinks="0" autoFilter="0"/>
  <mergeCells count="1">
    <mergeCell ref="A1:D1"/>
  </mergeCells>
  <phoneticPr fontId="6" type="noConversion"/>
  <dataValidations count="1">
    <dataValidation type="list" errorStyle="information" allowBlank="1" showErrorMessage="1" errorTitle="错误提示" error="请输入下拉列表中的一个值" sqref="A10" xr:uid="{00000000-0002-0000-0000-000000000000}">
      <formula1>"开发人员,Commiter,TL/SE,SL"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opLeftCell="A2" workbookViewId="0">
      <selection activeCell="E2" sqref="E2"/>
    </sheetView>
  </sheetViews>
  <sheetFormatPr defaultColWidth="9" defaultRowHeight="13.5" x14ac:dyDescent="0.15"/>
  <cols>
    <col min="1" max="1" width="12.625" customWidth="1"/>
    <col min="2" max="2" width="17.75" style="11" customWidth="1"/>
    <col min="3" max="3" width="73" customWidth="1"/>
    <col min="4" max="4" width="16.5" customWidth="1"/>
    <col min="5" max="5" width="60.5" customWidth="1"/>
  </cols>
  <sheetData>
    <row r="1" spans="1:5" ht="15" x14ac:dyDescent="0.1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ht="99" x14ac:dyDescent="0.15">
      <c r="A2" s="31" t="s">
        <v>17</v>
      </c>
      <c r="B2" s="13" t="s">
        <v>18</v>
      </c>
      <c r="C2" s="14" t="s">
        <v>19</v>
      </c>
      <c r="D2" s="7"/>
      <c r="E2" s="10"/>
    </row>
    <row r="3" spans="1:5" ht="66" x14ac:dyDescent="0.15">
      <c r="A3" s="32"/>
      <c r="B3" s="2" t="s">
        <v>20</v>
      </c>
      <c r="C3" s="7" t="s">
        <v>21</v>
      </c>
      <c r="D3" s="7"/>
      <c r="E3" s="10"/>
    </row>
    <row r="4" spans="1:5" ht="82.5" x14ac:dyDescent="0.15">
      <c r="A4" s="32"/>
      <c r="B4" s="2" t="s">
        <v>22</v>
      </c>
      <c r="C4" s="7" t="s">
        <v>23</v>
      </c>
      <c r="D4" s="7"/>
      <c r="E4" s="10"/>
    </row>
    <row r="5" spans="1:5" ht="66" x14ac:dyDescent="0.15">
      <c r="A5" s="32"/>
      <c r="B5" s="2" t="s">
        <v>24</v>
      </c>
      <c r="C5" s="4" t="s">
        <v>25</v>
      </c>
      <c r="D5" s="7"/>
      <c r="E5" s="10"/>
    </row>
    <row r="6" spans="1:5" ht="82.5" x14ac:dyDescent="0.15">
      <c r="A6" s="32"/>
      <c r="B6" s="2" t="s">
        <v>26</v>
      </c>
      <c r="C6" s="4" t="s">
        <v>27</v>
      </c>
      <c r="D6" s="7"/>
      <c r="E6" s="10"/>
    </row>
    <row r="7" spans="1:5" ht="99" x14ac:dyDescent="0.15">
      <c r="A7" s="32"/>
      <c r="B7" s="12" t="s">
        <v>28</v>
      </c>
      <c r="C7" s="15" t="s">
        <v>29</v>
      </c>
      <c r="D7" s="7"/>
      <c r="E7" s="17"/>
    </row>
    <row r="8" spans="1:5" ht="99" x14ac:dyDescent="0.15">
      <c r="A8" s="16" t="s">
        <v>30</v>
      </c>
      <c r="B8" s="16" t="s">
        <v>31</v>
      </c>
      <c r="C8" s="6" t="s">
        <v>32</v>
      </c>
      <c r="D8" s="7"/>
      <c r="E8" s="18"/>
    </row>
    <row r="9" spans="1:5" ht="115.5" x14ac:dyDescent="0.15">
      <c r="A9" s="5" t="s">
        <v>33</v>
      </c>
      <c r="B9" s="16" t="s">
        <v>34</v>
      </c>
      <c r="C9" s="6" t="s">
        <v>35</v>
      </c>
      <c r="D9" s="7"/>
      <c r="E9" s="18"/>
    </row>
  </sheetData>
  <sheetProtection formatCells="0" insertHyperlinks="0" autoFilter="0"/>
  <mergeCells count="1">
    <mergeCell ref="A2:A7"/>
  </mergeCells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B12" sqref="B12"/>
    </sheetView>
  </sheetViews>
  <sheetFormatPr defaultColWidth="9" defaultRowHeight="13.5" x14ac:dyDescent="0.15"/>
  <cols>
    <col min="1" max="1" width="17.625" customWidth="1"/>
    <col min="2" max="2" width="24.625" customWidth="1"/>
    <col min="3" max="3" width="84.75" customWidth="1"/>
    <col min="4" max="4" width="18.25" customWidth="1"/>
    <col min="5" max="5" width="47.75" customWidth="1"/>
  </cols>
  <sheetData>
    <row r="1" spans="1:5" ht="15" x14ac:dyDescent="0.1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ht="82.5" x14ac:dyDescent="0.15">
      <c r="A2" s="33" t="s">
        <v>36</v>
      </c>
      <c r="B2" s="2" t="s">
        <v>37</v>
      </c>
      <c r="C2" s="3" t="s">
        <v>38</v>
      </c>
      <c r="D2" s="4"/>
      <c r="E2" s="10"/>
    </row>
    <row r="3" spans="1:5" ht="99" x14ac:dyDescent="0.15">
      <c r="A3" s="33"/>
      <c r="B3" s="2" t="s">
        <v>39</v>
      </c>
      <c r="C3" s="4" t="s">
        <v>40</v>
      </c>
      <c r="D3" s="4"/>
      <c r="E3" s="10"/>
    </row>
    <row r="4" spans="1:5" ht="66" x14ac:dyDescent="0.15">
      <c r="A4" s="33"/>
      <c r="B4" s="2" t="s">
        <v>41</v>
      </c>
      <c r="C4" s="3" t="s">
        <v>42</v>
      </c>
      <c r="D4" s="4"/>
      <c r="E4" s="10"/>
    </row>
    <row r="5" spans="1:5" ht="99" x14ac:dyDescent="0.15">
      <c r="A5" s="34" t="s">
        <v>43</v>
      </c>
      <c r="B5" s="5" t="s">
        <v>44</v>
      </c>
      <c r="C5" s="6" t="s">
        <v>45</v>
      </c>
      <c r="D5" s="7"/>
      <c r="E5" s="10"/>
    </row>
    <row r="6" spans="1:5" ht="82.5" x14ac:dyDescent="0.15">
      <c r="A6" s="35"/>
      <c r="B6" s="8" t="s">
        <v>46</v>
      </c>
      <c r="C6" s="9" t="s">
        <v>47</v>
      </c>
      <c r="D6" s="7"/>
      <c r="E6" s="10"/>
    </row>
    <row r="7" spans="1:5" ht="49.5" x14ac:dyDescent="0.15">
      <c r="A7" s="35"/>
      <c r="B7" s="8" t="s">
        <v>48</v>
      </c>
      <c r="C7" s="9" t="s">
        <v>49</v>
      </c>
      <c r="D7" s="7"/>
      <c r="E7" s="10"/>
    </row>
  </sheetData>
  <sheetProtection formatCells="0" insertHyperlinks="0" autoFilter="0"/>
  <mergeCells count="2">
    <mergeCell ref="A2:A4"/>
    <mergeCell ref="A5:A7"/>
  </mergeCells>
  <phoneticPr fontId="6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4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2.xml><?xml version="1.0" encoding="utf-8"?>
<autofilters xmlns="https://web.wps.cn/et/2018/main"/>
</file>

<file path=customXml/item3.xml><?xml version="1.0" encoding="utf-8"?>
<pixelators xmlns="https://web.wps.cn/et/2018/main" xmlns:s="http://schemas.openxmlformats.org/spreadsheetml/2006/main">
  <pixelatorList sheetStid="14"/>
  <pixelatorList sheetStid="10"/>
  <pixelatorList sheetStid="13"/>
  <pixelatorList sheetStid="1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人员评价标准</vt:lpstr>
      <vt:lpstr>评价标准-代码</vt:lpstr>
      <vt:lpstr>评价标准-软件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lvliangming</dc:creator>
  <cp:lastModifiedBy>huchengzhe</cp:lastModifiedBy>
  <dcterms:created xsi:type="dcterms:W3CDTF">2020-10-17T06:29:00Z</dcterms:created>
  <dcterms:modified xsi:type="dcterms:W3CDTF">2026-06-15T13:03:13Z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(3)hb32ApcBHRlSMa95M8dTfnak3vY1tRF1qLCaBtLvJgZwQ8wi/8D7aCo7i28E+OwyidHpN9ud_x000d__x000d__x000d__x000d__x000d__x000d__x000d__x000d__x000d_
hWUDizMrTJU1CUuGj7Vf3kcTTGbz62BGhmMfDS2fV7IYO2ihrPswKCms1raNjUX1S+c7hLXe_x000d__x000d__x000d__x000d__x000d__x000d__x000d__x000d__x000d_
Sayde1SIsNqDUHiN5wEUgIe3rOWuqfoXMy3RX7C2ryFSMLNWDGiYo50CvAgMV5QebCMjLUrz_x000d__x000d__x000d__x000d__x000d__x000d__x000d__x000d__x000d_
6TbQzj</vt:lpwstr>
  </property>
  <property fmtid="{D5CDD505-2E9C-101B-9397-08002B2CF9AE}" pid="3" name="_2015_ms_pID_7253431">
    <vt:lpwstr>JxOngUn5L9od4AV9Sgmyn+1RNnqHrTlTG9EeYPM3kunWdT6PqswE0c_x000d__x000d__x000d__x000d__x000d__x000d__x000d__x000d__x000d_
CiM/bg4tBeTXbsKIl16zixggCjQPsM98/+4SvW5/cvKTqcQwBJHFMdusRHX8W80qwlM2pPk/_x000d__x000d__x000d__x000d__x000d__x000d__x000d__x000d__x000d_
GEw5Cnir6cA+4r4LHjKznLaA2Lqke5JeVt2ibeKq2kAgb+XgbYL3kWbpw7cn/v2I8Y7e/26s_x000d__x000d__x000d__x000d__x000d__x000d__x000d__x000d__x000d_
9FNsaGKNVFKAGwwXSSN+qjsWA+O</vt:lpwstr>
  </property>
  <property fmtid="{D5CDD505-2E9C-101B-9397-08002B2CF9AE}" pid="4" name="_2015_ms_pID_7253432">
    <vt:lpwstr>1+bJ5LCWo6WwK0/zVVP+anI=</vt:lpwstr>
  </property>
  <property fmtid="{D5CDD505-2E9C-101B-9397-08002B2CF9AE}" pid="5" name="ContentTypeId">
    <vt:lpwstr>0x010100BBB51F0E5526B44B89E3273889E7FB39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1687146377</vt:lpwstr>
  </property>
  <property fmtid="{D5CDD505-2E9C-101B-9397-08002B2CF9AE}" pid="10" name="KSOProductBuildVer">
    <vt:lpwstr>2052-0.0.0.0</vt:lpwstr>
  </property>
</Properties>
</file>